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0173\Documents\Princeton\git\PSIP\GenX\example_systems\RTS_Case_Latest\"/>
    </mc:Choice>
  </mc:AlternateContent>
  <xr:revisionPtr revIDLastSave="0" documentId="13_ncr:1_{D5661B33-77C5-473A-81CA-0685CCF7C251}" xr6:coauthVersionLast="47" xr6:coauthVersionMax="47" xr10:uidLastSave="{00000000-0000-0000-0000-000000000000}"/>
  <bookViews>
    <workbookView xWindow="28680" yWindow="-120" windowWidth="29040" windowHeight="15720" xr2:uid="{98E63C11-1830-449F-8B2F-76738D884B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D10" i="1"/>
  <c r="B10" i="1"/>
  <c r="E7" i="1"/>
  <c r="D7" i="1"/>
  <c r="C7" i="1"/>
  <c r="B7" i="1"/>
</calcChain>
</file>

<file path=xl/sharedStrings.xml><?xml version="1.0" encoding="utf-8"?>
<sst xmlns="http://schemas.openxmlformats.org/spreadsheetml/2006/main" count="12" uniqueCount="10">
  <si>
    <t>Objective</t>
  </si>
  <si>
    <t>Time</t>
  </si>
  <si>
    <t>Benders</t>
  </si>
  <si>
    <t>Monolithic</t>
  </si>
  <si>
    <t>3 Month, 2x transmission</t>
  </si>
  <si>
    <t>Problem 1</t>
  </si>
  <si>
    <t>Problem 2</t>
  </si>
  <si>
    <t>Problem 3</t>
  </si>
  <si>
    <t xml:space="preserve">Zonal Objective: 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</si>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</sst>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.00000E+00"/>
    <numFmt numFmtId="174" formatCode="0.000%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  <xf numFmtId="11" fontId="2" fillId="0" borderId="0" xfId="0" applyNumberFormat="1" applyFont="1" applyAlignment="1">
      <alignment vertical="center"/>
    </xf>
    <xf numFmtId="0" fontId="0" fillId="0" borderId="0" xfId="0" applyNumberFormat="1"/>
    <xf numFmtId="172" fontId="0" fillId="0" borderId="0" xfId="0" applyNumberFormat="1"/>
    <xf numFmtId="17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AE035-D2D4-449A-B393-F48388089305}">
  <dimension ref="A1:F16"/>
  <sheetViews>
    <sheetView tabSelected="1" workbookViewId="0">
      <selection activeCell="H20" sqref="H20"/>
    </sheetView>
  </sheetViews>
  <sheetFormatPr defaultRowHeight="14.5"/>
  <cols>
    <col min="1" max="1" width="8.90625" customWidth="1"/>
    <col min="2" max="2" width="11.36328125" bestFit="1" customWidth="1"/>
    <col min="4" max="4" width="11.36328125" bestFit="1" customWidth="1"/>
  </cols>
  <sheetData>
    <row r="1" spans="1:6">
      <c r="B1" s="1" t="s">
        <v>4</v>
      </c>
      <c r="C1" s="1"/>
      <c r="D1" s="1"/>
      <c r="E1" s="1"/>
    </row>
    <row r="2" spans="1:6">
      <c r="B2" s="1" t="s">
        <v>2</v>
      </c>
      <c r="C2" s="1"/>
      <c r="D2" s="1" t="s">
        <v>3</v>
      </c>
      <c r="E2" s="1"/>
    </row>
    <row r="3" spans="1:6">
      <c r="B3" t="s">
        <v>0</v>
      </c>
      <c r="C3" t="s">
        <v>1</v>
      </c>
      <c r="D3" t="s">
        <v>0</v>
      </c>
      <c r="E3" t="s">
        <v>1</v>
      </c>
    </row>
    <row r="4" spans="1:6">
      <c r="A4" t="s">
        <v>5</v>
      </c>
      <c r="B4" s="2">
        <v>167063000</v>
      </c>
      <c r="C4">
        <v>12795</v>
      </c>
      <c r="D4" s="2">
        <v>167010000</v>
      </c>
      <c r="E4">
        <v>18000</v>
      </c>
    </row>
    <row r="5" spans="1:6">
      <c r="A5" t="s">
        <v>6</v>
      </c>
      <c r="B5" s="2">
        <v>132198500</v>
      </c>
      <c r="C5">
        <v>10427</v>
      </c>
      <c r="D5" s="3">
        <v>132186000</v>
      </c>
      <c r="E5">
        <v>18000</v>
      </c>
    </row>
    <row r="6" spans="1:6">
      <c r="A6" t="s">
        <v>7</v>
      </c>
      <c r="B6" s="3">
        <v>167497302.89942101</v>
      </c>
      <c r="C6">
        <v>5848</v>
      </c>
      <c r="D6" s="3">
        <v>167425492.7985</v>
      </c>
      <c r="E6">
        <v>2770</v>
      </c>
    </row>
    <row r="7" spans="1:6">
      <c r="B7" s="5">
        <f>SUM(B4:B6)</f>
        <v>466758802.89942098</v>
      </c>
      <c r="C7" s="4">
        <f>SUM(C4:C6)</f>
        <v>29070</v>
      </c>
      <c r="D7" s="5">
        <f>SUM(D4:D6)</f>
        <v>466621492.7985</v>
      </c>
      <c r="E7" s="4">
        <f>SUM(E4:E6)</f>
        <v>38770</v>
      </c>
    </row>
    <row r="9" spans="1:6">
      <c r="A9" t="s">
        <v>8</v>
      </c>
      <c r="B9" s="2">
        <v>445340000</v>
      </c>
      <c r="D9" s="2">
        <v>445340000</v>
      </c>
    </row>
    <row r="10" spans="1:6">
      <c r="A10" t="s">
        <v>9</v>
      </c>
      <c r="B10" s="6">
        <f>(B7-B9)/B7</f>
        <v>4.5888374823080488E-2</v>
      </c>
      <c r="D10" s="6">
        <f>(D7-D9)/D7</f>
        <v>4.5607613723206562E-2</v>
      </c>
    </row>
    <row r="15" spans="1:6">
      <c r="F15">
        <f>29070/3600</f>
        <v>8.0749999999999993</v>
      </c>
    </row>
    <row r="16" spans="1:6">
      <c r="F16">
        <f>38770/3600</f>
        <v>10.769444444444444</v>
      </c>
    </row>
  </sheetData>
  <mergeCells count="3">
    <mergeCell ref="B2:C2"/>
    <mergeCell ref="D2:E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Princeton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L. Cole</dc:creator>
  <cp:lastModifiedBy>David L. Cole</cp:lastModifiedBy>
  <dcterms:created xsi:type="dcterms:W3CDTF">2025-10-08T19:46:58Z</dcterms:created>
  <dcterms:modified xsi:type="dcterms:W3CDTF">2025-10-08T20:13:30Z</dcterms:modified>
</cp:coreProperties>
</file>